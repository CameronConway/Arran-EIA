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showInkAnnotation="0" autoCompressPictures="0"/>
  <mc:AlternateContent xmlns:mc="http://schemas.openxmlformats.org/markup-compatibility/2006">
    <mc:Choice Requires="x15">
      <x15ac:absPath xmlns:x15ac="http://schemas.microsoft.com/office/spreadsheetml/2010/11/ac" url="https://uoe-my.sharepoint.com/personal/s2048065_ed_ac_uk/Documents/Arran/Data/"/>
    </mc:Choice>
  </mc:AlternateContent>
  <xr:revisionPtr revIDLastSave="50" documentId="8_{E04A977D-A351-45ED-A8F1-2C794E32C503}" xr6:coauthVersionLast="47" xr6:coauthVersionMax="47" xr10:uidLastSave="{78E1368A-4B99-4DAC-9610-634748927922}"/>
  <bookViews>
    <workbookView xWindow="-96" yWindow="0" windowWidth="11712" windowHeight="12336" tabRatio="500" activeTab="1" xr2:uid="{00000000-000D-0000-FFFF-FFFF00000000}"/>
  </bookViews>
  <sheets>
    <sheet name="Sampling Events" sheetId="2" r:id="rId1"/>
    <sheet name="Associated Occurrences" sheetId="1" r:id="rId2"/>
    <sheet name="READM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U33" i="1" l="1"/>
  <c r="U28" i="1"/>
  <c r="U23" i="1"/>
  <c r="U21" i="1"/>
  <c r="U18" i="1"/>
  <c r="U12" i="1"/>
  <c r="U6" i="1"/>
  <c r="U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<sst xmlns="http://schemas.openxmlformats.org/spreadsheetml/2006/main" count="681" uniqueCount="201">
  <si>
    <t>eventID</t>
  </si>
  <si>
    <t>parentEventID</t>
  </si>
  <si>
    <t>ParentEntry</t>
  </si>
  <si>
    <t>eventDate</t>
  </si>
  <si>
    <t>Starttime</t>
  </si>
  <si>
    <t>Samplingprotocol</t>
  </si>
  <si>
    <t>Samplingeffort</t>
  </si>
  <si>
    <t>Samplesizevalue</t>
  </si>
  <si>
    <t>Samplesizeunit</t>
  </si>
  <si>
    <t>locationID</t>
  </si>
  <si>
    <t>Temperature</t>
  </si>
  <si>
    <t>Precipitation</t>
  </si>
  <si>
    <t>Visibility</t>
  </si>
  <si>
    <t>Wind</t>
  </si>
  <si>
    <t>Latitude</t>
  </si>
  <si>
    <t>Longitude</t>
  </si>
  <si>
    <t>Percentcanopycover</t>
  </si>
  <si>
    <t>Endlatitude</t>
  </si>
  <si>
    <t>Endlongitude</t>
  </si>
  <si>
    <t>Geodeticdatum</t>
  </si>
  <si>
    <t>countryCode</t>
  </si>
  <si>
    <t>SD4FI_A</t>
  </si>
  <si>
    <t>N/A</t>
  </si>
  <si>
    <t>Kick_sampling</t>
  </si>
  <si>
    <t>10_minutes</t>
  </si>
  <si>
    <t>5 x 30</t>
  </si>
  <si>
    <t xml:space="preserve">Heel_Clicks </t>
  </si>
  <si>
    <t>West</t>
  </si>
  <si>
    <t xml:space="preserve">Light </t>
  </si>
  <si>
    <t>High</t>
  </si>
  <si>
    <t>Medium</t>
  </si>
  <si>
    <t>N55 41.854</t>
  </si>
  <si>
    <t>W005 16.439</t>
  </si>
  <si>
    <t>WGS84</t>
  </si>
  <si>
    <t>GB</t>
  </si>
  <si>
    <t>SU4FI_A</t>
  </si>
  <si>
    <t xml:space="preserve">10_minutes </t>
  </si>
  <si>
    <t xml:space="preserve">5 x 30 </t>
  </si>
  <si>
    <t xml:space="preserve">Heavy </t>
  </si>
  <si>
    <t>N55 41.828</t>
  </si>
  <si>
    <t>W005 16.382</t>
  </si>
  <si>
    <t>NU3FI_A</t>
  </si>
  <si>
    <t>20_minutes</t>
  </si>
  <si>
    <t>None</t>
  </si>
  <si>
    <t>Low</t>
  </si>
  <si>
    <t>N55 42.464</t>
  </si>
  <si>
    <t>W005 17.036</t>
  </si>
  <si>
    <t>ND4FI_A</t>
  </si>
  <si>
    <t>30_minutes</t>
  </si>
  <si>
    <t>N55 42.444</t>
  </si>
  <si>
    <t>W005 17.068</t>
  </si>
  <si>
    <t>ND4FI_B</t>
  </si>
  <si>
    <t>Net_dipping</t>
  </si>
  <si>
    <t>25_minutes</t>
  </si>
  <si>
    <t xml:space="preserve">Swivels </t>
  </si>
  <si>
    <t>East</t>
  </si>
  <si>
    <t>none</t>
  </si>
  <si>
    <t>N55 42.174</t>
  </si>
  <si>
    <t>W005 15.983</t>
  </si>
  <si>
    <t>NU3FI_B</t>
  </si>
  <si>
    <t xml:space="preserve">16_minutes </t>
  </si>
  <si>
    <t>N55 42.261</t>
  </si>
  <si>
    <t>W005 16.032</t>
  </si>
  <si>
    <t>SD4FI_B</t>
  </si>
  <si>
    <t>Sweep_netting</t>
  </si>
  <si>
    <t>50_minutes</t>
  </si>
  <si>
    <t>5 x 1</t>
  </si>
  <si>
    <t xml:space="preserve">Sweep </t>
  </si>
  <si>
    <t xml:space="preserve">Bog </t>
  </si>
  <si>
    <t>N55 41.802</t>
  </si>
  <si>
    <t>W005 16.876</t>
  </si>
  <si>
    <t>SU4FI_B</t>
  </si>
  <si>
    <t>Bog Stream</t>
  </si>
  <si>
    <t>occurrenceID</t>
  </si>
  <si>
    <t>basisOfRecord</t>
  </si>
  <si>
    <t>kingdom</t>
  </si>
  <si>
    <t>Order</t>
  </si>
  <si>
    <t>scientificName</t>
  </si>
  <si>
    <t>Commonname</t>
  </si>
  <si>
    <t>taxonRank</t>
  </si>
  <si>
    <t>individualCount</t>
  </si>
  <si>
    <t>organismQuantity</t>
  </si>
  <si>
    <t>organismQuantityType</t>
  </si>
  <si>
    <t>occurrenceStatus</t>
  </si>
  <si>
    <t>BMWPscore</t>
  </si>
  <si>
    <t>geodeticDatum</t>
  </si>
  <si>
    <t>ND4FI_W1</t>
  </si>
  <si>
    <t>Humanobservation</t>
  </si>
  <si>
    <t>Animalia</t>
  </si>
  <si>
    <t>Plecoptera</t>
  </si>
  <si>
    <t>Stonefly larvae</t>
  </si>
  <si>
    <t>Individuals</t>
  </si>
  <si>
    <t>Present</t>
  </si>
  <si>
    <t>ND4FI_W2</t>
  </si>
  <si>
    <t>Ephemeroptera</t>
  </si>
  <si>
    <t>Mayfly larvae</t>
  </si>
  <si>
    <t>ND4FI_W3</t>
  </si>
  <si>
    <t>Coleoptera</t>
  </si>
  <si>
    <t xml:space="preserve">Waterbeetle </t>
  </si>
  <si>
    <t>ND4FI_W4</t>
  </si>
  <si>
    <t>Oligochaeta</t>
  </si>
  <si>
    <t>Worm</t>
  </si>
  <si>
    <t>ND4FI_E1</t>
  </si>
  <si>
    <t>Odonata</t>
  </si>
  <si>
    <t>anisoptera</t>
  </si>
  <si>
    <t>Dragonfly larvae</t>
  </si>
  <si>
    <t>Family</t>
  </si>
  <si>
    <t>ND4FI_E2</t>
  </si>
  <si>
    <t>ND4FI_E3</t>
  </si>
  <si>
    <t>ND4FI_E4</t>
  </si>
  <si>
    <t>ND4FI_E5</t>
  </si>
  <si>
    <t>Waterbeetle larvae</t>
  </si>
  <si>
    <t>ND4FI_E6</t>
  </si>
  <si>
    <t>Trichoptera</t>
  </si>
  <si>
    <t>Cased caddisfly larvae</t>
  </si>
  <si>
    <t>5, 10</t>
  </si>
  <si>
    <t>NU4FI_W1</t>
  </si>
  <si>
    <t>Hydropsychidae</t>
  </si>
  <si>
    <t>Caddisfly larvae</t>
  </si>
  <si>
    <t>NU4FI_W2</t>
  </si>
  <si>
    <t>NU4FI_W3</t>
  </si>
  <si>
    <t>NU4FI_W4</t>
  </si>
  <si>
    <t>Philopotamidae</t>
  </si>
  <si>
    <t>Caseless caddisfly larvae</t>
  </si>
  <si>
    <t>5,10</t>
  </si>
  <si>
    <t>NU4FI_W5</t>
  </si>
  <si>
    <t>NU4FI_W6</t>
  </si>
  <si>
    <t xml:space="preserve">N55 42.464 </t>
  </si>
  <si>
    <t>NU4FI_E1</t>
  </si>
  <si>
    <t>NU4FI_E2</t>
  </si>
  <si>
    <t>NU4FI_E3</t>
  </si>
  <si>
    <t>D4FI_A1</t>
  </si>
  <si>
    <t>D4FI_A2</t>
  </si>
  <si>
    <t>Diptera</t>
  </si>
  <si>
    <t>Blackfly larvae</t>
  </si>
  <si>
    <t>SD4FI_B1</t>
  </si>
  <si>
    <t>dytiscidae</t>
  </si>
  <si>
    <t>Diving beetle</t>
  </si>
  <si>
    <t>SD4FI_B2</t>
  </si>
  <si>
    <t>Hemiptera</t>
  </si>
  <si>
    <t>Corixidae</t>
  </si>
  <si>
    <t>Lesser Water Boatman</t>
  </si>
  <si>
    <t>SD4FI_B3</t>
  </si>
  <si>
    <t xml:space="preserve">zygoptera </t>
  </si>
  <si>
    <t>Damselfly larvae</t>
  </si>
  <si>
    <t>Suborder</t>
  </si>
  <si>
    <t>SD4FI_B4</t>
  </si>
  <si>
    <t>Infraorder</t>
  </si>
  <si>
    <t>SD4FI_B5</t>
  </si>
  <si>
    <t>Notonectidae</t>
  </si>
  <si>
    <t>Greater Water Boatman</t>
  </si>
  <si>
    <t>SU4FI_A1</t>
  </si>
  <si>
    <t>SU4FI_A2</t>
  </si>
  <si>
    <t xml:space="preserve">Waterbeetle larvae </t>
  </si>
  <si>
    <t>N55 41.829</t>
  </si>
  <si>
    <t>W005 16.383</t>
  </si>
  <si>
    <t>SU4FI_A3</t>
  </si>
  <si>
    <t>N55 41.830</t>
  </si>
  <si>
    <t>W005 16.384</t>
  </si>
  <si>
    <t>SU4F1_A4</t>
  </si>
  <si>
    <t>N55 41.831</t>
  </si>
  <si>
    <t>W005 16.385</t>
  </si>
  <si>
    <t>SU4F1_A5</t>
  </si>
  <si>
    <t xml:space="preserve">Ephemeropltera </t>
  </si>
  <si>
    <t>N55 41.832</t>
  </si>
  <si>
    <t>W005 16.386</t>
  </si>
  <si>
    <t>SU4FI_B1</t>
  </si>
  <si>
    <t>SU4FI_B2</t>
  </si>
  <si>
    <t>SU4FI_B3</t>
  </si>
  <si>
    <t>Caddisfly case</t>
  </si>
  <si>
    <t>SU4FI_B4</t>
  </si>
  <si>
    <t>simuliidae</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</si>
  <si>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</si>
  <si>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</si>
  <si>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</si>
  <si>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</si>
  <si>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</si>
  <si>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</si>
  <si>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</si>
  <si>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</si>
  <si>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</si>
  <si>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</si>
  <si>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</si>
  <si>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</si>
  <si>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</si>
  <si>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</si>
  <si>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</si>
  <si>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</si>
  <si>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</si>
  <si>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</si>
  <si>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</si>
  <si>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</si>
  <si>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</si>
  <si>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</si>
  <si>
    <t>Biological Monitoring Working Party (BMWP) Average Score per Taxon... | Download Table</t>
  </si>
  <si>
    <t>ASPTscore</t>
  </si>
  <si>
    <t>West DS</t>
  </si>
  <si>
    <t>East DS</t>
  </si>
  <si>
    <t>West US</t>
  </si>
  <si>
    <t>East US</t>
  </si>
  <si>
    <t>Bog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</si>
</sst>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2" x14ac:knownFonts="1">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scheme val="minor"/>
    </font>
    <font>
      <sz val="8"/>
      <name val="Calibri"/>
      <family val="2"/>
      <scheme val="minor"/>
    </font>
    <font>
      <sz val="12"/>
      <color rgb="FF000000"/>
      <name val="Calibri"/>
      <family val="2"/>
    </font>
    <font>
      <sz val="12"/>
      <color rgb="FF000000"/>
      <name val="Calibri"/>
      <charset val="1"/>
    </font>
    <font>
      <sz val="12"/>
      <color rgb="FF242424"/>
      <name val="Calibri"/>
      <scheme val="minor"/>
    </font>
    <font>
      <sz val="12"/>
      <color rgb="FF000000"/>
      <name val="Calibri"/>
      <scheme val="minor"/>
    </font>
  </fonts>
  <fills count="10">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rgb="FFFFFF00"/>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40">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20" fontId="0" fillId="0" borderId="0" xfId="0" applyNumberFormat="1"/>
    <xf numFmtId="0" fontId="16" fillId="0" borderId="0" xfId="0" applyFont="1"/>
    <xf numFmtId="0" fontId="2" fillId="5" borderId="0" xfId="0" applyFont="1" applyFill="1"/>
    <xf numFmtId="0" fontId="3" fillId="5" borderId="1" xfId="1" applyFont="1" applyFill="1"/>
    <xf numFmtId="0" fontId="16"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164" fontId="0" fillId="0" borderId="0" xfId="0" applyNumberFormat="1"/>
    <xf numFmtId="0" fontId="7" fillId="0" borderId="0" xfId="90"/>
    <xf numFmtId="0" fontId="2" fillId="8" borderId="0" xfId="0" applyFont="1" applyFill="1"/>
    <xf numFmtId="0" fontId="18" fillId="0" borderId="0" xfId="0" applyFont="1"/>
    <xf numFmtId="0" fontId="18" fillId="0" borderId="0" xfId="0" applyFont="1" applyAlignment="1">
      <alignment wrapText="1"/>
    </xf>
    <xf numFmtId="20" fontId="18" fillId="0" borderId="0" xfId="0" applyNumberFormat="1" applyFont="1"/>
    <xf numFmtId="0" fontId="19" fillId="0" borderId="0" xfId="0" applyFont="1"/>
    <xf numFmtId="0" fontId="20" fillId="0" borderId="0" xfId="0" applyFont="1"/>
    <xf numFmtId="0" fontId="21" fillId="0" borderId="0" xfId="0" applyFont="1"/>
    <xf numFmtId="16" fontId="0" fillId="0" borderId="0" xfId="0" applyNumberFormat="1"/>
    <xf numFmtId="164" fontId="18" fillId="0" borderId="0" xfId="0" applyNumberFormat="1" applyFont="1"/>
    <xf numFmtId="0" fontId="18" fillId="9" borderId="0" xfId="0" applyFont="1" applyFill="1"/>
  </cellXfs>
  <cellStyles count="91">
    <cellStyle name="Followed Hyperlink" xfId="71" builtinId="9" hidden="1"/>
    <cellStyle name="Followed Hyperlink" xfId="89" builtinId="9" hidden="1"/>
    <cellStyle name="Followed Hyperlink" xfId="83" builtinId="9" hidden="1"/>
    <cellStyle name="Followed Hyperlink" xfId="87" builtinId="9" hidden="1"/>
    <cellStyle name="Followed Hyperlink" xfId="81" builtinId="9" hidden="1"/>
    <cellStyle name="Followed Hyperlink" xfId="69"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5" builtinId="9" hidden="1"/>
    <cellStyle name="Followed Hyperlink" xfId="67" builtinId="9" hidden="1"/>
    <cellStyle name="Followed Hyperlink" xfId="25" builtinId="9" hidden="1"/>
    <cellStyle name="Followed Hyperlink" xfId="27" builtinId="9" hidden="1"/>
    <cellStyle name="Followed Hyperlink" xfId="29" builtinId="9" hidden="1"/>
    <cellStyle name="Followed Hyperlink" xfId="33" builtinId="9" hidden="1"/>
    <cellStyle name="Followed Hyperlink" xfId="35" builtinId="9" hidden="1"/>
    <cellStyle name="Followed Hyperlink" xfId="37" builtinId="9" hidden="1"/>
    <cellStyle name="Followed Hyperlink" xfId="63" builtinId="9" hidden="1"/>
    <cellStyle name="Followed Hyperlink" xfId="47" builtinId="9" hidden="1"/>
    <cellStyle name="Followed Hyperlink" xfId="51" builtinId="9" hidden="1"/>
    <cellStyle name="Followed Hyperlink" xfId="57" builtinId="9" hidden="1"/>
    <cellStyle name="Followed Hyperlink" xfId="45" builtinId="9" hidden="1"/>
    <cellStyle name="Followed Hyperlink" xfId="65" builtinId="9" hidden="1"/>
    <cellStyle name="Followed Hyperlink" xfId="49" builtinId="9" hidden="1"/>
    <cellStyle name="Followed Hyperlink" xfId="39" builtinId="9" hidden="1"/>
    <cellStyle name="Followed Hyperlink" xfId="61" builtinId="9" hidden="1"/>
    <cellStyle name="Followed Hyperlink" xfId="53" builtinId="9" hidden="1"/>
    <cellStyle name="Followed Hyperlink" xfId="41" builtinId="9" hidden="1"/>
    <cellStyle name="Followed Hyperlink" xfId="55" builtinId="9" hidden="1"/>
    <cellStyle name="Followed Hyperlink" xfId="43" builtinId="9" hidden="1"/>
    <cellStyle name="Followed Hyperlink" xfId="59" builtinId="9" hidden="1"/>
    <cellStyle name="Followed Hyperlink" xfId="31" builtinId="9" hidden="1"/>
    <cellStyle name="Followed Hyperlink" xfId="11" builtinId="9" hidden="1"/>
    <cellStyle name="Followed Hyperlink" xfId="9" builtinId="9" hidden="1"/>
    <cellStyle name="Followed Hyperlink" xfId="3" builtinId="9" hidden="1"/>
    <cellStyle name="Followed Hyperlink" xfId="21" builtinId="9" hidden="1"/>
    <cellStyle name="Followed Hyperlink" xfId="7" builtinId="9" hidden="1"/>
    <cellStyle name="Followed Hyperlink" xfId="19" builtinId="9" hidden="1"/>
    <cellStyle name="Followed Hyperlink" xfId="5" builtinId="9" hidden="1"/>
    <cellStyle name="Followed Hyperlink" xfId="17" builtinId="9" hidden="1"/>
    <cellStyle name="Followed Hyperlink" xfId="15" builtinId="9" hidden="1"/>
    <cellStyle name="Followed Hyperlink" xfId="13" builtinId="9" hidden="1"/>
    <cellStyle name="Followed Hyperlink" xfId="23" builtinId="9" hidden="1"/>
    <cellStyle name="Hyperlink" xfId="82" builtinId="8" hidden="1"/>
    <cellStyle name="Hyperlink" xfId="4" builtinId="8" hidden="1"/>
    <cellStyle name="Hyperlink" xfId="6" builtinId="8" hidden="1"/>
    <cellStyle name="Hyperlink" xfId="26"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38" builtinId="8" hidden="1"/>
    <cellStyle name="Hyperlink" xfId="32" builtinId="8" hidden="1"/>
    <cellStyle name="Hyperlink" xfId="30" builtinId="8" hidden="1"/>
    <cellStyle name="Hyperlink" xfId="56" builtinId="8" hidden="1"/>
    <cellStyle name="Hyperlink" xfId="34" builtinId="8" hidden="1"/>
    <cellStyle name="Hyperlink" xfId="36" builtinId="8" hidden="1"/>
    <cellStyle name="Hyperlink" xfId="42" builtinId="8" hidden="1"/>
    <cellStyle name="Hyperlink" xfId="40" builtinId="8" hidden="1"/>
    <cellStyle name="Hyperlink" xfId="2" builtinId="8" hidden="1"/>
    <cellStyle name="Hyperlink" xfId="44" builtinId="8" hidden="1"/>
    <cellStyle name="Hyperlink" xfId="46" builtinId="8" hidden="1"/>
    <cellStyle name="Hyperlink" xfId="64" builtinId="8" hidden="1"/>
    <cellStyle name="Hyperlink" xfId="50" builtinId="8" hidden="1"/>
    <cellStyle name="Hyperlink" xfId="52" builtinId="8" hidden="1"/>
    <cellStyle name="Hyperlink" xfId="54" builtinId="8" hidden="1"/>
    <cellStyle name="Hyperlink" xfId="8" builtinId="8" hidden="1"/>
    <cellStyle name="Hyperlink" xfId="58" builtinId="8" hidden="1"/>
    <cellStyle name="Hyperlink" xfId="60" builtinId="8" hidden="1"/>
    <cellStyle name="Hyperlink" xfId="62" builtinId="8" hidden="1"/>
    <cellStyle name="Hyperlink" xfId="88" builtinId="8" hidden="1"/>
    <cellStyle name="Hyperlink" xfId="48"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66" builtinId="8" hidden="1"/>
    <cellStyle name="Hyperlink" xfId="84" builtinId="8" hidden="1"/>
    <cellStyle name="Hyperlink" xfId="86" builtinId="8" hidden="1"/>
    <cellStyle name="Hyperlink" xfId="28"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hyperlink" Target="https://www.researchgate.net/figure/Biological-Monitoring-Working-Party-BMWP-Average-Score-per-Taxon-ASPT-Scoring-System_tbl2_313695263" TargetMode="External"/><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
  <sheetViews>
    <sheetView workbookViewId="0">
      <selection activeCell="J2" sqref="J2"/>
    </sheetView>
  </sheetViews>
  <sheetFormatPr defaultColWidth="11" defaultRowHeight="15.75" customHeight="1" x14ac:dyDescent="0.3"/>
  <cols>
    <col min="1" max="1" width="14.5" customWidth="1"/>
    <col min="2" max="2" width="15.5" customWidth="1"/>
    <col min="3" max="3" width="10.69921875" bestFit="1" customWidth="1"/>
    <col min="4" max="5" width="13.3984375" customWidth="1"/>
    <col min="6" max="6" width="18" customWidth="1"/>
    <col min="7" max="7" width="35.5" bestFit="1" customWidth="1"/>
    <col min="8" max="8" width="17" customWidth="1"/>
    <col min="9" max="9" width="16" customWidth="1"/>
    <col min="10" max="10" width="13" customWidth="1"/>
    <col min="11" max="13" width="14.8984375" customWidth="1"/>
    <col min="14" max="14" width="19.19921875" bestFit="1" customWidth="1"/>
    <col min="15" max="15" width="17.59765625" customWidth="1"/>
    <col min="16" max="16" width="16.5" customWidth="1"/>
    <col min="17" max="17" width="18" customWidth="1"/>
    <col min="18" max="19" width="16.5" customWidth="1"/>
    <col min="20" max="20" width="16.09765625" customWidth="1"/>
    <col min="21" max="21" width="13.5" customWidth="1"/>
  </cols>
  <sheetData>
    <row r="1" spans="1:21" ht="15.6" x14ac:dyDescent="0.3">
      <c r="A1" s="1" t="s">
        <v>0</v>
      </c>
      <c r="B1" s="21" t="s">
        <v>1</v>
      </c>
      <c r="C1" s="23" t="s">
        <v>2</v>
      </c>
      <c r="D1" s="1" t="s">
        <v>3</v>
      </c>
      <c r="E1" s="1" t="s">
        <v>4</v>
      </c>
      <c r="F1" s="1" t="s">
        <v>5</v>
      </c>
      <c r="G1" s="22" t="s">
        <v>6</v>
      </c>
      <c r="H1" s="22" t="s">
        <v>7</v>
      </c>
      <c r="I1" s="22" t="s">
        <v>8</v>
      </c>
      <c r="J1" s="3" t="s">
        <v>9</v>
      </c>
      <c r="K1" s="3" t="s">
        <v>10</v>
      </c>
      <c r="L1" s="3" t="s">
        <v>11</v>
      </c>
      <c r="M1" s="3" t="s">
        <v>12</v>
      </c>
      <c r="N1" s="3" t="s">
        <v>13</v>
      </c>
      <c r="O1" s="3" t="s">
        <v>14</v>
      </c>
      <c r="P1" s="3" t="s">
        <v>15</v>
      </c>
      <c r="Q1" s="24" t="s">
        <v>16</v>
      </c>
      <c r="R1" s="30" t="s">
        <v>17</v>
      </c>
      <c r="S1" s="30" t="s">
        <v>18</v>
      </c>
      <c r="T1" s="27" t="s">
        <v>19</v>
      </c>
      <c r="U1" s="26" t="s">
        <v>20</v>
      </c>
    </row>
    <row r="2" spans="1:21" ht="15.75" customHeight="1" x14ac:dyDescent="0.3">
      <c r="A2" s="31" t="s">
        <v>47</v>
      </c>
      <c r="B2" s="31" t="s">
        <v>22</v>
      </c>
      <c r="C2" s="31" t="b">
        <v>0</v>
      </c>
      <c r="D2" s="38">
        <v>45911</v>
      </c>
      <c r="E2" s="33">
        <v>0.68055555555555558</v>
      </c>
      <c r="F2" t="s">
        <v>23</v>
      </c>
      <c r="G2" s="31" t="s">
        <v>48</v>
      </c>
      <c r="H2" s="31" t="s">
        <v>25</v>
      </c>
      <c r="I2" t="s">
        <v>26</v>
      </c>
      <c r="J2" s="31" t="s">
        <v>27</v>
      </c>
      <c r="K2" t="s">
        <v>22</v>
      </c>
      <c r="L2" s="31" t="s">
        <v>43</v>
      </c>
      <c r="M2" t="s">
        <v>29</v>
      </c>
      <c r="N2" s="31" t="s">
        <v>44</v>
      </c>
      <c r="O2" s="34" t="s">
        <v>49</v>
      </c>
      <c r="P2" s="31" t="s">
        <v>50</v>
      </c>
      <c r="Q2" s="31">
        <v>90</v>
      </c>
      <c r="R2" t="s">
        <v>22</v>
      </c>
      <c r="S2" t="s">
        <v>22</v>
      </c>
      <c r="T2" t="s">
        <v>33</v>
      </c>
      <c r="U2" t="s">
        <v>34</v>
      </c>
    </row>
    <row r="3" spans="1:21" ht="15.75" customHeight="1" x14ac:dyDescent="0.3">
      <c r="A3" s="31" t="s">
        <v>51</v>
      </c>
      <c r="B3" s="31" t="s">
        <v>22</v>
      </c>
      <c r="C3" s="31" t="b">
        <v>0</v>
      </c>
      <c r="D3" s="38">
        <v>45912</v>
      </c>
      <c r="E3" s="33">
        <v>0.40625</v>
      </c>
      <c r="F3" s="31" t="s">
        <v>52</v>
      </c>
      <c r="G3" s="31" t="s">
        <v>53</v>
      </c>
      <c r="H3" s="31" t="s">
        <v>37</v>
      </c>
      <c r="I3" s="31" t="s">
        <v>54</v>
      </c>
      <c r="J3" s="31" t="s">
        <v>55</v>
      </c>
      <c r="K3" t="s">
        <v>22</v>
      </c>
      <c r="L3" s="31" t="s">
        <v>56</v>
      </c>
      <c r="M3" t="s">
        <v>29</v>
      </c>
      <c r="N3" s="31" t="s">
        <v>30</v>
      </c>
      <c r="O3" s="31" t="s">
        <v>57</v>
      </c>
      <c r="P3" s="31" t="s">
        <v>58</v>
      </c>
      <c r="Q3" s="31">
        <v>45</v>
      </c>
      <c r="R3" t="s">
        <v>22</v>
      </c>
      <c r="S3" t="s">
        <v>22</v>
      </c>
      <c r="T3" t="s">
        <v>33</v>
      </c>
      <c r="U3" t="s">
        <v>34</v>
      </c>
    </row>
    <row r="4" spans="1:21" ht="15.75" customHeight="1" x14ac:dyDescent="0.3">
      <c r="A4" s="31" t="s">
        <v>41</v>
      </c>
      <c r="B4" s="31" t="s">
        <v>22</v>
      </c>
      <c r="C4" s="31" t="b">
        <v>0</v>
      </c>
      <c r="D4" s="38">
        <v>45911</v>
      </c>
      <c r="E4" s="33">
        <v>0.72222222222222221</v>
      </c>
      <c r="F4" t="s">
        <v>23</v>
      </c>
      <c r="G4" s="31" t="s">
        <v>42</v>
      </c>
      <c r="H4" s="31" t="s">
        <v>25</v>
      </c>
      <c r="I4" t="s">
        <v>26</v>
      </c>
      <c r="J4" s="31" t="s">
        <v>27</v>
      </c>
      <c r="K4" t="s">
        <v>22</v>
      </c>
      <c r="L4" s="31" t="s">
        <v>43</v>
      </c>
      <c r="M4" t="s">
        <v>29</v>
      </c>
      <c r="N4" s="31" t="s">
        <v>44</v>
      </c>
      <c r="O4" t="s">
        <v>45</v>
      </c>
      <c r="P4" s="35" t="s">
        <v>46</v>
      </c>
      <c r="Q4" s="31">
        <v>75</v>
      </c>
      <c r="R4" t="s">
        <v>22</v>
      </c>
      <c r="S4" t="s">
        <v>22</v>
      </c>
      <c r="T4" t="s">
        <v>33</v>
      </c>
      <c r="U4" t="s">
        <v>34</v>
      </c>
    </row>
    <row r="5" spans="1:21" ht="15.75" customHeight="1" x14ac:dyDescent="0.3">
      <c r="A5" s="31" t="s">
        <v>59</v>
      </c>
      <c r="B5" s="31" t="s">
        <v>22</v>
      </c>
      <c r="C5" s="31" t="b">
        <v>0</v>
      </c>
      <c r="D5" s="38">
        <v>45912</v>
      </c>
      <c r="E5" s="33">
        <v>0.43472222222222223</v>
      </c>
      <c r="F5" s="31" t="s">
        <v>52</v>
      </c>
      <c r="G5" s="31" t="s">
        <v>60</v>
      </c>
      <c r="H5" s="31" t="s">
        <v>37</v>
      </c>
      <c r="I5" s="31" t="s">
        <v>54</v>
      </c>
      <c r="J5" s="31" t="s">
        <v>55</v>
      </c>
      <c r="K5" t="s">
        <v>22</v>
      </c>
      <c r="L5" s="31" t="s">
        <v>28</v>
      </c>
      <c r="M5" t="s">
        <v>29</v>
      </c>
      <c r="N5" s="31" t="s">
        <v>44</v>
      </c>
      <c r="O5" s="31" t="s">
        <v>61</v>
      </c>
      <c r="P5" s="31" t="s">
        <v>62</v>
      </c>
      <c r="Q5" s="31">
        <v>80</v>
      </c>
      <c r="R5" t="s">
        <v>22</v>
      </c>
      <c r="S5" t="s">
        <v>22</v>
      </c>
      <c r="T5" t="s">
        <v>33</v>
      </c>
      <c r="U5" t="s">
        <v>34</v>
      </c>
    </row>
    <row r="6" spans="1:21" ht="15.75" customHeight="1" x14ac:dyDescent="0.3">
      <c r="A6" t="s">
        <v>21</v>
      </c>
      <c r="B6" t="s">
        <v>22</v>
      </c>
      <c r="C6" t="b">
        <v>0</v>
      </c>
      <c r="D6" s="28">
        <v>45910</v>
      </c>
      <c r="E6" s="19">
        <v>13.5</v>
      </c>
      <c r="F6" t="s">
        <v>23</v>
      </c>
      <c r="G6" t="s">
        <v>24</v>
      </c>
      <c r="H6" t="s">
        <v>25</v>
      </c>
      <c r="I6" t="s">
        <v>26</v>
      </c>
      <c r="J6" t="s">
        <v>27</v>
      </c>
      <c r="K6" t="s">
        <v>22</v>
      </c>
      <c r="L6" t="s">
        <v>28</v>
      </c>
      <c r="M6" t="s">
        <v>29</v>
      </c>
      <c r="N6" t="s">
        <v>30</v>
      </c>
      <c r="O6" s="36" t="s">
        <v>31</v>
      </c>
      <c r="P6" s="36" t="s">
        <v>32</v>
      </c>
      <c r="Q6">
        <v>60</v>
      </c>
      <c r="R6" t="s">
        <v>22</v>
      </c>
      <c r="S6" t="s">
        <v>22</v>
      </c>
      <c r="T6" t="s">
        <v>33</v>
      </c>
      <c r="U6" t="s">
        <v>34</v>
      </c>
    </row>
    <row r="7" spans="1:21" ht="15.75" customHeight="1" x14ac:dyDescent="0.3">
      <c r="A7" s="39" t="s">
        <v>63</v>
      </c>
      <c r="B7" s="31" t="s">
        <v>22</v>
      </c>
      <c r="C7" s="31" t="b">
        <v>0</v>
      </c>
      <c r="D7" s="38">
        <v>45911</v>
      </c>
      <c r="E7" s="33">
        <v>0.56944444444444442</v>
      </c>
      <c r="F7" s="31" t="s">
        <v>64</v>
      </c>
      <c r="G7" s="31" t="s">
        <v>65</v>
      </c>
      <c r="H7" s="31" t="s">
        <v>66</v>
      </c>
      <c r="I7" s="31" t="s">
        <v>67</v>
      </c>
      <c r="J7" s="31" t="s">
        <v>68</v>
      </c>
      <c r="K7" t="s">
        <v>22</v>
      </c>
      <c r="L7" s="31" t="s">
        <v>43</v>
      </c>
      <c r="M7" t="s">
        <v>29</v>
      </c>
      <c r="N7" s="31" t="s">
        <v>44</v>
      </c>
      <c r="O7" s="35" t="s">
        <v>69</v>
      </c>
      <c r="P7" s="31" t="s">
        <v>70</v>
      </c>
      <c r="Q7" s="31">
        <v>0</v>
      </c>
      <c r="R7" t="s">
        <v>22</v>
      </c>
      <c r="S7" t="s">
        <v>22</v>
      </c>
      <c r="T7" t="s">
        <v>33</v>
      </c>
      <c r="U7" t="s">
        <v>34</v>
      </c>
    </row>
    <row r="8" spans="1:21" ht="15.75" customHeight="1" x14ac:dyDescent="0.3">
      <c r="A8" t="s">
        <v>35</v>
      </c>
      <c r="B8" t="s">
        <v>22</v>
      </c>
      <c r="C8" t="b">
        <v>0</v>
      </c>
      <c r="D8" s="28">
        <v>45910</v>
      </c>
      <c r="E8" s="19">
        <v>0.59097222222222223</v>
      </c>
      <c r="F8" t="s">
        <v>23</v>
      </c>
      <c r="G8" t="s">
        <v>36</v>
      </c>
      <c r="H8" t="s">
        <v>37</v>
      </c>
      <c r="I8" t="s">
        <v>26</v>
      </c>
      <c r="J8" t="s">
        <v>27</v>
      </c>
      <c r="K8" t="s">
        <v>22</v>
      </c>
      <c r="L8" t="s">
        <v>38</v>
      </c>
      <c r="M8" t="s">
        <v>30</v>
      </c>
      <c r="N8" t="s">
        <v>29</v>
      </c>
      <c r="O8" s="36" t="s">
        <v>39</v>
      </c>
      <c r="P8" s="36" t="s">
        <v>40</v>
      </c>
      <c r="Q8">
        <v>20</v>
      </c>
      <c r="R8" t="s">
        <v>22</v>
      </c>
      <c r="S8" t="s">
        <v>22</v>
      </c>
      <c r="T8" t="s">
        <v>33</v>
      </c>
      <c r="U8" t="s">
        <v>34</v>
      </c>
    </row>
    <row r="9" spans="1:21" ht="15.75" customHeight="1" x14ac:dyDescent="0.3">
      <c r="A9" s="31" t="s">
        <v>71</v>
      </c>
      <c r="B9" s="31" t="s">
        <v>22</v>
      </c>
      <c r="C9" s="31" t="b">
        <v>0</v>
      </c>
      <c r="D9" s="38">
        <v>45911</v>
      </c>
      <c r="E9" s="19">
        <v>0.61458333333333337</v>
      </c>
      <c r="F9" s="31" t="s">
        <v>52</v>
      </c>
      <c r="G9" t="s">
        <v>48</v>
      </c>
      <c r="H9" t="s">
        <v>37</v>
      </c>
      <c r="I9" t="s">
        <v>54</v>
      </c>
      <c r="J9" t="s">
        <v>72</v>
      </c>
      <c r="K9" t="s">
        <v>22</v>
      </c>
      <c r="L9" t="s">
        <v>43</v>
      </c>
      <c r="M9" t="s">
        <v>29</v>
      </c>
      <c r="N9" t="s">
        <v>44</v>
      </c>
      <c r="Q9">
        <v>70</v>
      </c>
      <c r="R9" t="s">
        <v>22</v>
      </c>
      <c r="S9" t="s">
        <v>22</v>
      </c>
      <c r="T9" t="s">
        <v>33</v>
      </c>
      <c r="U9" t="s">
        <v>34</v>
      </c>
    </row>
    <row r="10" spans="1:21" ht="15.75" customHeight="1" x14ac:dyDescent="0.3">
      <c r="D10" s="28"/>
      <c r="E10" s="19"/>
    </row>
  </sheetData>
  <sortState xmlns:xlrd2="http://schemas.microsoft.com/office/spreadsheetml/2017/richdata2" ref="A2:U10">
    <sortCondition ref="A1:A10"/>
  </sortState>
  <phoneticPr fontId="17"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36"/>
  <sheetViews>
    <sheetView tabSelected="1" topLeftCell="G1" workbookViewId="0">
      <selection activeCell="W6" sqref="W6"/>
    </sheetView>
  </sheetViews>
  <sheetFormatPr defaultColWidth="11" defaultRowHeight="15.75" customHeight="1" x14ac:dyDescent="0.3"/>
  <cols>
    <col min="1" max="1" width="11.5" customWidth="1"/>
    <col min="2" max="2" width="13.5" customWidth="1"/>
    <col min="3" max="3" width="17.19921875" hidden="1" customWidth="1"/>
    <col min="4" max="4" width="11.59765625" hidden="1" customWidth="1"/>
    <col min="5" max="5" width="11.3984375" hidden="1" customWidth="1"/>
    <col min="6" max="6" width="8.8984375" customWidth="1"/>
    <col min="7" max="7" width="21.8984375" customWidth="1"/>
    <col min="8" max="8" width="15" hidden="1" customWidth="1"/>
    <col min="9" max="9" width="7.796875" hidden="1" customWidth="1"/>
    <col min="10" max="10" width="3.296875" hidden="1" customWidth="1"/>
    <col min="11" max="11" width="3.19921875" hidden="1" customWidth="1"/>
    <col min="12" max="12" width="4.8984375" hidden="1" customWidth="1"/>
    <col min="13" max="13" width="2.296875" hidden="1" customWidth="1"/>
    <col min="14" max="14" width="1.69921875" hidden="1" customWidth="1"/>
    <col min="15" max="15" width="4.19921875" hidden="1" customWidth="1"/>
    <col min="16" max="16" width="13.19921875" bestFit="1" customWidth="1"/>
    <col min="17" max="17" width="10.59765625" hidden="1" customWidth="1"/>
    <col min="18" max="18" width="12" hidden="1" customWidth="1"/>
    <col min="19" max="19" width="15.59765625" hidden="1" customWidth="1"/>
    <col min="20" max="20" width="15" hidden="1" customWidth="1"/>
  </cols>
  <sheetData>
    <row r="1" spans="1:23" ht="15.6" x14ac:dyDescent="0.3">
      <c r="A1" s="1" t="s">
        <v>0</v>
      </c>
      <c r="B1" s="1" t="s">
        <v>73</v>
      </c>
      <c r="C1" s="1" t="s">
        <v>74</v>
      </c>
      <c r="D1" s="1" t="s">
        <v>3</v>
      </c>
      <c r="E1" s="21" t="s">
        <v>75</v>
      </c>
      <c r="F1" s="21" t="s">
        <v>76</v>
      </c>
      <c r="G1" s="1" t="s">
        <v>77</v>
      </c>
      <c r="H1" s="1" t="s">
        <v>78</v>
      </c>
      <c r="I1" s="2" t="s">
        <v>79</v>
      </c>
      <c r="J1" s="3" t="s">
        <v>80</v>
      </c>
      <c r="K1" s="3" t="s">
        <v>81</v>
      </c>
      <c r="L1" s="3" t="s">
        <v>82</v>
      </c>
      <c r="M1" s="3" t="s">
        <v>83</v>
      </c>
      <c r="N1" s="3" t="s">
        <v>14</v>
      </c>
      <c r="O1" s="3" t="s">
        <v>15</v>
      </c>
      <c r="P1" s="24" t="s">
        <v>84</v>
      </c>
      <c r="Q1" s="30" t="s">
        <v>17</v>
      </c>
      <c r="R1" s="30" t="s">
        <v>18</v>
      </c>
      <c r="S1" s="27" t="s">
        <v>85</v>
      </c>
      <c r="T1" s="26" t="s">
        <v>20</v>
      </c>
      <c r="U1" t="s">
        <v>195</v>
      </c>
    </row>
    <row r="2" spans="1:23" ht="15.75" customHeight="1" x14ac:dyDescent="0.3">
      <c r="A2" s="31" t="s">
        <v>47</v>
      </c>
      <c r="B2" s="31" t="s">
        <v>86</v>
      </c>
      <c r="C2" t="s">
        <v>87</v>
      </c>
      <c r="D2" s="38">
        <v>45911</v>
      </c>
      <c r="E2" s="31" t="s">
        <v>88</v>
      </c>
      <c r="F2" s="31" t="s">
        <v>89</v>
      </c>
      <c r="G2" s="31"/>
      <c r="H2" s="32" t="s">
        <v>90</v>
      </c>
      <c r="I2" s="31" t="s">
        <v>76</v>
      </c>
      <c r="J2" s="31">
        <v>4</v>
      </c>
      <c r="K2" s="31">
        <v>4</v>
      </c>
      <c r="L2" t="s">
        <v>91</v>
      </c>
      <c r="M2" s="31" t="s">
        <v>92</v>
      </c>
      <c r="N2" s="31" t="s">
        <v>49</v>
      </c>
      <c r="O2" s="31" t="s">
        <v>50</v>
      </c>
      <c r="P2">
        <v>7</v>
      </c>
      <c r="S2" t="s">
        <v>33</v>
      </c>
      <c r="T2" t="s">
        <v>34</v>
      </c>
      <c r="U2">
        <f>(7+10+5+1)/4</f>
        <v>5.75</v>
      </c>
      <c r="V2" t="s">
        <v>47</v>
      </c>
      <c r="W2" t="s">
        <v>196</v>
      </c>
    </row>
    <row r="3" spans="1:23" ht="15.75" customHeight="1" x14ac:dyDescent="0.3">
      <c r="A3" s="31" t="s">
        <v>47</v>
      </c>
      <c r="B3" s="31" t="s">
        <v>93</v>
      </c>
      <c r="C3" t="s">
        <v>87</v>
      </c>
      <c r="D3" s="38">
        <v>45911</v>
      </c>
      <c r="E3" s="31" t="s">
        <v>88</v>
      </c>
      <c r="F3" s="31" t="s">
        <v>94</v>
      </c>
      <c r="G3" s="31"/>
      <c r="H3" s="32" t="s">
        <v>95</v>
      </c>
      <c r="I3" s="31" t="s">
        <v>76</v>
      </c>
      <c r="J3" s="31">
        <v>2</v>
      </c>
      <c r="K3" s="31">
        <v>2</v>
      </c>
      <c r="L3" t="s">
        <v>91</v>
      </c>
      <c r="M3" s="31" t="s">
        <v>92</v>
      </c>
      <c r="N3" s="31" t="s">
        <v>49</v>
      </c>
      <c r="O3" s="31" t="s">
        <v>50</v>
      </c>
      <c r="P3">
        <v>10</v>
      </c>
      <c r="S3" t="s">
        <v>33</v>
      </c>
      <c r="T3" t="s">
        <v>34</v>
      </c>
    </row>
    <row r="4" spans="1:23" ht="15.75" customHeight="1" x14ac:dyDescent="0.3">
      <c r="A4" s="31" t="s">
        <v>47</v>
      </c>
      <c r="B4" s="31" t="s">
        <v>96</v>
      </c>
      <c r="C4" t="s">
        <v>87</v>
      </c>
      <c r="D4" s="38">
        <v>45911</v>
      </c>
      <c r="E4" s="31" t="s">
        <v>88</v>
      </c>
      <c r="F4" s="31" t="s">
        <v>97</v>
      </c>
      <c r="G4" s="31"/>
      <c r="H4" s="32" t="s">
        <v>98</v>
      </c>
      <c r="I4" s="31" t="s">
        <v>76</v>
      </c>
      <c r="J4" s="31">
        <v>1</v>
      </c>
      <c r="K4" s="31">
        <v>1</v>
      </c>
      <c r="L4" t="s">
        <v>91</v>
      </c>
      <c r="M4" s="31" t="s">
        <v>92</v>
      </c>
      <c r="N4" s="31" t="s">
        <v>49</v>
      </c>
      <c r="O4" s="31" t="s">
        <v>50</v>
      </c>
      <c r="P4">
        <v>5</v>
      </c>
      <c r="S4" t="s">
        <v>33</v>
      </c>
      <c r="T4" t="s">
        <v>34</v>
      </c>
    </row>
    <row r="5" spans="1:23" ht="15.75" customHeight="1" x14ac:dyDescent="0.3">
      <c r="A5" s="31" t="s">
        <v>47</v>
      </c>
      <c r="B5" s="31" t="s">
        <v>99</v>
      </c>
      <c r="C5" t="s">
        <v>87</v>
      </c>
      <c r="D5" s="38">
        <v>45911</v>
      </c>
      <c r="E5" s="31" t="s">
        <v>88</v>
      </c>
      <c r="F5" s="31" t="s">
        <v>100</v>
      </c>
      <c r="G5" s="31"/>
      <c r="H5" s="32" t="s">
        <v>101</v>
      </c>
      <c r="I5" s="31" t="s">
        <v>76</v>
      </c>
      <c r="J5" s="31">
        <v>2</v>
      </c>
      <c r="K5" s="31">
        <v>2</v>
      </c>
      <c r="L5" t="s">
        <v>91</v>
      </c>
      <c r="M5" s="31" t="s">
        <v>92</v>
      </c>
      <c r="N5" s="31" t="s">
        <v>49</v>
      </c>
      <c r="O5" s="31" t="s">
        <v>50</v>
      </c>
      <c r="P5">
        <v>1</v>
      </c>
      <c r="S5" t="s">
        <v>33</v>
      </c>
      <c r="T5" t="s">
        <v>34</v>
      </c>
    </row>
    <row r="6" spans="1:23" ht="15.75" customHeight="1" x14ac:dyDescent="0.3">
      <c r="A6" s="31" t="s">
        <v>51</v>
      </c>
      <c r="B6" s="31" t="s">
        <v>102</v>
      </c>
      <c r="C6" t="s">
        <v>87</v>
      </c>
      <c r="D6" s="38">
        <v>45912</v>
      </c>
      <c r="E6" s="31" t="s">
        <v>88</v>
      </c>
      <c r="F6" s="31" t="s">
        <v>103</v>
      </c>
      <c r="G6" s="31" t="s">
        <v>104</v>
      </c>
      <c r="H6" s="32" t="s">
        <v>105</v>
      </c>
      <c r="I6" s="31" t="s">
        <v>106</v>
      </c>
      <c r="J6" s="31">
        <v>1</v>
      </c>
      <c r="K6" s="31">
        <v>1</v>
      </c>
      <c r="L6" t="s">
        <v>91</v>
      </c>
      <c r="M6" s="31" t="s">
        <v>92</v>
      </c>
      <c r="N6" s="31" t="s">
        <v>57</v>
      </c>
      <c r="O6" s="31" t="s">
        <v>58</v>
      </c>
      <c r="P6" s="31"/>
      <c r="S6" t="s">
        <v>33</v>
      </c>
      <c r="T6" t="s">
        <v>34</v>
      </c>
      <c r="U6">
        <f>(1+7+10+5+5)/5</f>
        <v>5.6</v>
      </c>
      <c r="V6" t="s">
        <v>51</v>
      </c>
      <c r="W6" t="s">
        <v>197</v>
      </c>
    </row>
    <row r="7" spans="1:23" ht="15.75" customHeight="1" x14ac:dyDescent="0.3">
      <c r="A7" s="31" t="s">
        <v>51</v>
      </c>
      <c r="B7" s="31" t="s">
        <v>107</v>
      </c>
      <c r="C7" t="s">
        <v>87</v>
      </c>
      <c r="D7" s="38">
        <v>45912</v>
      </c>
      <c r="E7" s="31" t="s">
        <v>88</v>
      </c>
      <c r="F7" s="31" t="s">
        <v>100</v>
      </c>
      <c r="G7" s="31"/>
      <c r="H7" s="32" t="s">
        <v>101</v>
      </c>
      <c r="I7" s="31" t="s">
        <v>76</v>
      </c>
      <c r="J7" s="31">
        <v>3</v>
      </c>
      <c r="K7" s="31">
        <v>3</v>
      </c>
      <c r="L7" t="s">
        <v>91</v>
      </c>
      <c r="M7" s="31" t="s">
        <v>92</v>
      </c>
      <c r="N7" s="31" t="s">
        <v>57</v>
      </c>
      <c r="O7" s="31" t="s">
        <v>58</v>
      </c>
      <c r="P7">
        <v>1</v>
      </c>
      <c r="S7" t="s">
        <v>33</v>
      </c>
      <c r="T7" t="s">
        <v>34</v>
      </c>
    </row>
    <row r="8" spans="1:23" ht="15.75" customHeight="1" x14ac:dyDescent="0.3">
      <c r="A8" s="31" t="s">
        <v>51</v>
      </c>
      <c r="B8" s="31" t="s">
        <v>108</v>
      </c>
      <c r="C8" t="s">
        <v>87</v>
      </c>
      <c r="D8" s="38">
        <v>45912</v>
      </c>
      <c r="E8" s="31" t="s">
        <v>88</v>
      </c>
      <c r="F8" s="31" t="s">
        <v>89</v>
      </c>
      <c r="G8" s="31"/>
      <c r="H8" s="32" t="s">
        <v>90</v>
      </c>
      <c r="I8" s="31" t="s">
        <v>76</v>
      </c>
      <c r="J8" s="31">
        <v>1</v>
      </c>
      <c r="K8" s="31">
        <v>1</v>
      </c>
      <c r="L8" t="s">
        <v>91</v>
      </c>
      <c r="M8" s="31" t="s">
        <v>92</v>
      </c>
      <c r="N8" s="31" t="s">
        <v>57</v>
      </c>
      <c r="O8" s="31" t="s">
        <v>58</v>
      </c>
      <c r="P8">
        <v>7</v>
      </c>
      <c r="S8" t="s">
        <v>33</v>
      </c>
      <c r="T8" t="s">
        <v>34</v>
      </c>
    </row>
    <row r="9" spans="1:23" ht="15.75" customHeight="1" x14ac:dyDescent="0.3">
      <c r="A9" s="31" t="s">
        <v>51</v>
      </c>
      <c r="B9" s="31" t="s">
        <v>109</v>
      </c>
      <c r="C9" t="s">
        <v>87</v>
      </c>
      <c r="D9" s="38">
        <v>45912</v>
      </c>
      <c r="E9" s="31" t="s">
        <v>88</v>
      </c>
      <c r="F9" s="31" t="s">
        <v>94</v>
      </c>
      <c r="G9" s="31"/>
      <c r="H9" s="32" t="s">
        <v>95</v>
      </c>
      <c r="I9" s="31" t="s">
        <v>76</v>
      </c>
      <c r="J9" s="31">
        <v>3</v>
      </c>
      <c r="K9" s="31">
        <v>3</v>
      </c>
      <c r="L9" t="s">
        <v>91</v>
      </c>
      <c r="M9" s="31" t="s">
        <v>92</v>
      </c>
      <c r="N9" s="31" t="s">
        <v>57</v>
      </c>
      <c r="O9" s="31" t="s">
        <v>58</v>
      </c>
      <c r="P9">
        <v>10</v>
      </c>
      <c r="S9" t="s">
        <v>33</v>
      </c>
      <c r="T9" t="s">
        <v>34</v>
      </c>
    </row>
    <row r="10" spans="1:23" ht="15.75" customHeight="1" x14ac:dyDescent="0.3">
      <c r="A10" s="31" t="s">
        <v>51</v>
      </c>
      <c r="B10" s="31" t="s">
        <v>110</v>
      </c>
      <c r="C10" t="s">
        <v>87</v>
      </c>
      <c r="D10" s="38">
        <v>45912</v>
      </c>
      <c r="E10" s="31" t="s">
        <v>88</v>
      </c>
      <c r="F10" s="31" t="s">
        <v>97</v>
      </c>
      <c r="G10" s="31"/>
      <c r="H10" s="32" t="s">
        <v>111</v>
      </c>
      <c r="I10" s="31" t="s">
        <v>76</v>
      </c>
      <c r="J10" s="31">
        <v>1</v>
      </c>
      <c r="K10" s="31">
        <v>1</v>
      </c>
      <c r="L10" t="s">
        <v>91</v>
      </c>
      <c r="M10" s="31" t="s">
        <v>92</v>
      </c>
      <c r="N10" s="31" t="s">
        <v>57</v>
      </c>
      <c r="O10" s="31" t="s">
        <v>58</v>
      </c>
      <c r="P10">
        <v>5</v>
      </c>
      <c r="S10" t="s">
        <v>33</v>
      </c>
      <c r="T10" t="s">
        <v>34</v>
      </c>
    </row>
    <row r="11" spans="1:23" ht="15.75" customHeight="1" x14ac:dyDescent="0.3">
      <c r="A11" s="31" t="s">
        <v>51</v>
      </c>
      <c r="B11" s="31" t="s">
        <v>112</v>
      </c>
      <c r="C11" t="s">
        <v>87</v>
      </c>
      <c r="D11" s="38">
        <v>45912</v>
      </c>
      <c r="E11" s="31" t="s">
        <v>88</v>
      </c>
      <c r="F11" s="31" t="s">
        <v>113</v>
      </c>
      <c r="G11" s="31"/>
      <c r="H11" s="32" t="s">
        <v>114</v>
      </c>
      <c r="I11" s="31" t="s">
        <v>76</v>
      </c>
      <c r="J11" s="31">
        <v>2</v>
      </c>
      <c r="K11" s="31">
        <v>2</v>
      </c>
      <c r="L11" t="s">
        <v>91</v>
      </c>
      <c r="M11" s="31" t="s">
        <v>92</v>
      </c>
      <c r="N11" s="31" t="s">
        <v>57</v>
      </c>
      <c r="O11" s="31" t="s">
        <v>58</v>
      </c>
      <c r="P11" s="37" t="s">
        <v>115</v>
      </c>
      <c r="S11" t="s">
        <v>33</v>
      </c>
      <c r="T11" t="s">
        <v>34</v>
      </c>
    </row>
    <row r="12" spans="1:23" ht="15.75" customHeight="1" x14ac:dyDescent="0.3">
      <c r="A12" s="31" t="s">
        <v>41</v>
      </c>
      <c r="B12" s="31" t="s">
        <v>116</v>
      </c>
      <c r="C12" t="s">
        <v>87</v>
      </c>
      <c r="D12" s="38">
        <v>45911</v>
      </c>
      <c r="E12" s="31" t="s">
        <v>88</v>
      </c>
      <c r="F12" s="31" t="s">
        <v>113</v>
      </c>
      <c r="G12" s="31" t="s">
        <v>117</v>
      </c>
      <c r="H12" s="32" t="s">
        <v>118</v>
      </c>
      <c r="I12" s="31" t="s">
        <v>106</v>
      </c>
      <c r="J12" s="31">
        <v>1</v>
      </c>
      <c r="K12" s="31">
        <v>1</v>
      </c>
      <c r="L12" t="s">
        <v>91</v>
      </c>
      <c r="M12" s="31" t="s">
        <v>92</v>
      </c>
      <c r="N12" t="s">
        <v>45</v>
      </c>
      <c r="O12" s="35" t="s">
        <v>46</v>
      </c>
      <c r="P12" s="31">
        <v>5</v>
      </c>
      <c r="S12" t="s">
        <v>33</v>
      </c>
      <c r="T12" t="s">
        <v>34</v>
      </c>
      <c r="U12">
        <f>(5+5+1+5+5)/5</f>
        <v>4.2</v>
      </c>
      <c r="V12" t="s">
        <v>41</v>
      </c>
      <c r="W12" t="s">
        <v>198</v>
      </c>
    </row>
    <row r="13" spans="1:23" ht="15.75" customHeight="1" x14ac:dyDescent="0.3">
      <c r="A13" s="31" t="s">
        <v>41</v>
      </c>
      <c r="B13" s="31" t="s">
        <v>119</v>
      </c>
      <c r="C13" t="s">
        <v>87</v>
      </c>
      <c r="D13" s="38">
        <v>45911</v>
      </c>
      <c r="E13" s="31" t="s">
        <v>88</v>
      </c>
      <c r="F13" s="31" t="s">
        <v>97</v>
      </c>
      <c r="G13" s="31"/>
      <c r="H13" s="32" t="s">
        <v>98</v>
      </c>
      <c r="I13" s="31" t="s">
        <v>76</v>
      </c>
      <c r="J13" s="31">
        <v>3</v>
      </c>
      <c r="K13" s="31">
        <v>3</v>
      </c>
      <c r="L13" t="s">
        <v>91</v>
      </c>
      <c r="M13" s="31" t="s">
        <v>92</v>
      </c>
      <c r="N13" t="s">
        <v>45</v>
      </c>
      <c r="O13" s="35" t="s">
        <v>46</v>
      </c>
      <c r="P13" s="31">
        <v>5</v>
      </c>
      <c r="S13" t="s">
        <v>33</v>
      </c>
      <c r="T13" t="s">
        <v>34</v>
      </c>
    </row>
    <row r="14" spans="1:23" ht="15.75" customHeight="1" x14ac:dyDescent="0.3">
      <c r="A14" s="31" t="s">
        <v>41</v>
      </c>
      <c r="B14" s="31" t="s">
        <v>120</v>
      </c>
      <c r="C14" t="s">
        <v>87</v>
      </c>
      <c r="D14" s="38">
        <v>45911</v>
      </c>
      <c r="E14" s="31" t="s">
        <v>88</v>
      </c>
      <c r="F14" s="31" t="s">
        <v>100</v>
      </c>
      <c r="G14" s="31"/>
      <c r="H14" s="32" t="s">
        <v>101</v>
      </c>
      <c r="I14" s="31" t="s">
        <v>76</v>
      </c>
      <c r="J14" s="31">
        <v>1</v>
      </c>
      <c r="K14" s="31">
        <v>1</v>
      </c>
      <c r="L14" t="s">
        <v>91</v>
      </c>
      <c r="M14" s="31" t="s">
        <v>92</v>
      </c>
      <c r="N14" t="s">
        <v>45</v>
      </c>
      <c r="O14" s="35" t="s">
        <v>46</v>
      </c>
      <c r="P14" s="31">
        <v>1</v>
      </c>
      <c r="S14" t="s">
        <v>33</v>
      </c>
      <c r="T14" t="s">
        <v>34</v>
      </c>
    </row>
    <row r="15" spans="1:23" ht="15.75" customHeight="1" x14ac:dyDescent="0.3">
      <c r="A15" s="31" t="s">
        <v>41</v>
      </c>
      <c r="B15" s="31" t="s">
        <v>121</v>
      </c>
      <c r="C15" t="s">
        <v>87</v>
      </c>
      <c r="D15" s="38">
        <v>45911</v>
      </c>
      <c r="E15" s="31" t="s">
        <v>88</v>
      </c>
      <c r="F15" s="31" t="s">
        <v>113</v>
      </c>
      <c r="G15" s="31" t="s">
        <v>122</v>
      </c>
      <c r="H15" s="32" t="s">
        <v>123</v>
      </c>
      <c r="I15" s="31" t="s">
        <v>106</v>
      </c>
      <c r="J15" s="31">
        <v>4</v>
      </c>
      <c r="K15" s="31">
        <v>4</v>
      </c>
      <c r="L15" t="s">
        <v>91</v>
      </c>
      <c r="M15" s="31" t="s">
        <v>92</v>
      </c>
      <c r="N15" t="s">
        <v>45</v>
      </c>
      <c r="O15" s="35" t="s">
        <v>46</v>
      </c>
      <c r="P15" s="31" t="s">
        <v>124</v>
      </c>
      <c r="S15" t="s">
        <v>33</v>
      </c>
      <c r="T15" t="s">
        <v>34</v>
      </c>
    </row>
    <row r="16" spans="1:23" ht="15.75" customHeight="1" x14ac:dyDescent="0.3">
      <c r="A16" s="31" t="s">
        <v>41</v>
      </c>
      <c r="B16" s="31" t="s">
        <v>125</v>
      </c>
      <c r="C16" t="s">
        <v>87</v>
      </c>
      <c r="D16" s="38">
        <v>45911</v>
      </c>
      <c r="E16" s="31" t="s">
        <v>88</v>
      </c>
      <c r="F16" s="31" t="s">
        <v>113</v>
      </c>
      <c r="G16" s="31"/>
      <c r="H16" s="32" t="s">
        <v>114</v>
      </c>
      <c r="I16" s="31" t="s">
        <v>76</v>
      </c>
      <c r="J16" s="31">
        <v>3</v>
      </c>
      <c r="K16" s="31">
        <v>3</v>
      </c>
      <c r="L16" t="s">
        <v>91</v>
      </c>
      <c r="M16" s="31" t="s">
        <v>92</v>
      </c>
      <c r="N16" t="s">
        <v>45</v>
      </c>
      <c r="O16" s="35" t="s">
        <v>46</v>
      </c>
      <c r="P16" s="31" t="s">
        <v>124</v>
      </c>
      <c r="S16" t="s">
        <v>33</v>
      </c>
      <c r="T16" t="s">
        <v>34</v>
      </c>
    </row>
    <row r="17" spans="1:23" ht="15.75" customHeight="1" x14ac:dyDescent="0.3">
      <c r="A17" s="31" t="s">
        <v>41</v>
      </c>
      <c r="B17" s="31" t="s">
        <v>126</v>
      </c>
      <c r="C17" t="s">
        <v>87</v>
      </c>
      <c r="D17" s="38">
        <v>45911</v>
      </c>
      <c r="E17" s="31" t="s">
        <v>88</v>
      </c>
      <c r="F17" s="31" t="s">
        <v>103</v>
      </c>
      <c r="G17" s="31" t="s">
        <v>104</v>
      </c>
      <c r="H17" s="32" t="s">
        <v>105</v>
      </c>
      <c r="I17" s="31" t="s">
        <v>106</v>
      </c>
      <c r="J17" s="31">
        <v>1</v>
      </c>
      <c r="K17" s="31">
        <v>1</v>
      </c>
      <c r="L17" t="s">
        <v>91</v>
      </c>
      <c r="M17" s="31" t="s">
        <v>92</v>
      </c>
      <c r="N17" t="s">
        <v>127</v>
      </c>
      <c r="O17" s="35" t="s">
        <v>46</v>
      </c>
      <c r="P17" s="31"/>
      <c r="S17" t="s">
        <v>33</v>
      </c>
      <c r="T17" t="s">
        <v>34</v>
      </c>
    </row>
    <row r="18" spans="1:23" ht="15.75" customHeight="1" x14ac:dyDescent="0.3">
      <c r="A18" s="31" t="s">
        <v>59</v>
      </c>
      <c r="B18" s="31" t="s">
        <v>128</v>
      </c>
      <c r="C18" t="s">
        <v>87</v>
      </c>
      <c r="D18" s="38">
        <v>45912</v>
      </c>
      <c r="E18" s="31" t="s">
        <v>88</v>
      </c>
      <c r="F18" s="31" t="s">
        <v>89</v>
      </c>
      <c r="G18" s="31"/>
      <c r="H18" s="32" t="s">
        <v>90</v>
      </c>
      <c r="I18" s="31" t="s">
        <v>76</v>
      </c>
      <c r="J18" s="31">
        <v>2</v>
      </c>
      <c r="K18" s="31">
        <v>2</v>
      </c>
      <c r="L18" t="s">
        <v>91</v>
      </c>
      <c r="M18" s="31" t="s">
        <v>92</v>
      </c>
      <c r="N18" s="31" t="s">
        <v>61</v>
      </c>
      <c r="O18" s="31" t="s">
        <v>62</v>
      </c>
      <c r="P18">
        <v>7</v>
      </c>
      <c r="S18" t="s">
        <v>33</v>
      </c>
      <c r="T18" t="s">
        <v>34</v>
      </c>
      <c r="U18">
        <f>(7+10+1)/3</f>
        <v>6</v>
      </c>
      <c r="V18" t="s">
        <v>59</v>
      </c>
      <c r="W18" t="s">
        <v>199</v>
      </c>
    </row>
    <row r="19" spans="1:23" ht="15.75" customHeight="1" x14ac:dyDescent="0.3">
      <c r="A19" s="31" t="s">
        <v>59</v>
      </c>
      <c r="B19" s="31" t="s">
        <v>129</v>
      </c>
      <c r="C19" t="s">
        <v>87</v>
      </c>
      <c r="D19" s="38">
        <v>45912</v>
      </c>
      <c r="E19" s="31" t="s">
        <v>88</v>
      </c>
      <c r="F19" s="31" t="s">
        <v>94</v>
      </c>
      <c r="G19" s="31"/>
      <c r="H19" s="32" t="s">
        <v>95</v>
      </c>
      <c r="I19" s="31" t="s">
        <v>76</v>
      </c>
      <c r="J19" s="31">
        <v>1</v>
      </c>
      <c r="K19" s="31">
        <v>1</v>
      </c>
      <c r="L19" t="s">
        <v>91</v>
      </c>
      <c r="M19" s="31" t="s">
        <v>92</v>
      </c>
      <c r="N19" s="31" t="s">
        <v>61</v>
      </c>
      <c r="O19" s="31" t="s">
        <v>62</v>
      </c>
      <c r="P19">
        <v>10</v>
      </c>
      <c r="S19" t="s">
        <v>33</v>
      </c>
      <c r="T19" t="s">
        <v>34</v>
      </c>
    </row>
    <row r="20" spans="1:23" ht="15.75" customHeight="1" x14ac:dyDescent="0.3">
      <c r="A20" s="31" t="s">
        <v>59</v>
      </c>
      <c r="B20" s="31" t="s">
        <v>130</v>
      </c>
      <c r="C20" t="s">
        <v>87</v>
      </c>
      <c r="D20" s="38">
        <v>45912</v>
      </c>
      <c r="E20" s="31" t="s">
        <v>88</v>
      </c>
      <c r="F20" s="31" t="s">
        <v>100</v>
      </c>
      <c r="G20" s="31"/>
      <c r="H20" s="32" t="s">
        <v>101</v>
      </c>
      <c r="I20" s="31" t="s">
        <v>76</v>
      </c>
      <c r="J20" s="31">
        <v>1</v>
      </c>
      <c r="K20" s="31">
        <v>1</v>
      </c>
      <c r="L20" t="s">
        <v>91</v>
      </c>
      <c r="M20" s="31" t="s">
        <v>92</v>
      </c>
      <c r="N20" s="31" t="s">
        <v>61</v>
      </c>
      <c r="O20" s="31" t="s">
        <v>62</v>
      </c>
      <c r="P20">
        <v>1</v>
      </c>
      <c r="S20" t="s">
        <v>33</v>
      </c>
      <c r="T20" t="s">
        <v>34</v>
      </c>
    </row>
    <row r="21" spans="1:23" ht="15.75" customHeight="1" x14ac:dyDescent="0.3">
      <c r="A21" t="s">
        <v>21</v>
      </c>
      <c r="B21" t="s">
        <v>131</v>
      </c>
      <c r="C21" t="s">
        <v>87</v>
      </c>
      <c r="D21" s="28">
        <v>45910</v>
      </c>
      <c r="E21" t="s">
        <v>88</v>
      </c>
      <c r="F21" t="s">
        <v>100</v>
      </c>
      <c r="H21" t="s">
        <v>101</v>
      </c>
      <c r="I21" t="s">
        <v>76</v>
      </c>
      <c r="J21">
        <v>1</v>
      </c>
      <c r="K21">
        <v>1</v>
      </c>
      <c r="L21" t="s">
        <v>91</v>
      </c>
      <c r="M21" t="s">
        <v>92</v>
      </c>
      <c r="N21" t="s">
        <v>31</v>
      </c>
      <c r="O21" t="s">
        <v>32</v>
      </c>
      <c r="P21">
        <v>1</v>
      </c>
      <c r="S21" t="s">
        <v>33</v>
      </c>
      <c r="T21" t="s">
        <v>34</v>
      </c>
      <c r="U21">
        <f>(6)/2</f>
        <v>3</v>
      </c>
      <c r="V21" t="s">
        <v>21</v>
      </c>
      <c r="W21" t="s">
        <v>196</v>
      </c>
    </row>
    <row r="22" spans="1:23" ht="15.75" customHeight="1" x14ac:dyDescent="0.3">
      <c r="A22" t="s">
        <v>21</v>
      </c>
      <c r="B22" t="s">
        <v>132</v>
      </c>
      <c r="C22" t="s">
        <v>87</v>
      </c>
      <c r="D22" s="28">
        <v>45910</v>
      </c>
      <c r="E22" t="s">
        <v>88</v>
      </c>
      <c r="F22" t="s">
        <v>133</v>
      </c>
      <c r="H22" t="s">
        <v>134</v>
      </c>
      <c r="I22" t="s">
        <v>76</v>
      </c>
      <c r="J22">
        <v>1</v>
      </c>
      <c r="K22">
        <v>1</v>
      </c>
      <c r="L22" t="s">
        <v>91</v>
      </c>
      <c r="M22" t="s">
        <v>92</v>
      </c>
      <c r="N22" t="s">
        <v>31</v>
      </c>
      <c r="O22" t="s">
        <v>32</v>
      </c>
      <c r="P22">
        <v>5</v>
      </c>
      <c r="S22" t="s">
        <v>33</v>
      </c>
      <c r="T22" t="s">
        <v>34</v>
      </c>
    </row>
    <row r="23" spans="1:23" ht="15.75" customHeight="1" x14ac:dyDescent="0.3">
      <c r="A23" s="31" t="s">
        <v>63</v>
      </c>
      <c r="B23" s="31" t="s">
        <v>135</v>
      </c>
      <c r="C23" t="s">
        <v>87</v>
      </c>
      <c r="D23" s="38">
        <v>45911</v>
      </c>
      <c r="E23" s="31" t="s">
        <v>88</v>
      </c>
      <c r="F23" s="31" t="s">
        <v>97</v>
      </c>
      <c r="G23" s="31" t="s">
        <v>136</v>
      </c>
      <c r="H23" s="32" t="s">
        <v>137</v>
      </c>
      <c r="I23" s="31" t="s">
        <v>106</v>
      </c>
      <c r="J23" s="31">
        <v>1</v>
      </c>
      <c r="K23" s="31">
        <v>1</v>
      </c>
      <c r="L23" t="s">
        <v>91</v>
      </c>
      <c r="M23" s="31" t="s">
        <v>92</v>
      </c>
      <c r="N23" s="31" t="s">
        <v>61</v>
      </c>
      <c r="O23" s="31" t="s">
        <v>62</v>
      </c>
      <c r="P23" s="31">
        <v>5</v>
      </c>
      <c r="S23" t="s">
        <v>33</v>
      </c>
      <c r="T23" t="s">
        <v>34</v>
      </c>
      <c r="U23">
        <f>(5)/1</f>
        <v>5</v>
      </c>
      <c r="V23" t="s">
        <v>63</v>
      </c>
      <c r="W23" t="s">
        <v>200</v>
      </c>
    </row>
    <row r="24" spans="1:23" ht="15.75" customHeight="1" x14ac:dyDescent="0.3">
      <c r="A24" s="31" t="s">
        <v>63</v>
      </c>
      <c r="B24" s="31" t="s">
        <v>138</v>
      </c>
      <c r="C24" t="s">
        <v>87</v>
      </c>
      <c r="D24" s="38">
        <v>45911</v>
      </c>
      <c r="E24" s="31" t="s">
        <v>88</v>
      </c>
      <c r="F24" s="31" t="s">
        <v>139</v>
      </c>
      <c r="G24" s="31" t="s">
        <v>140</v>
      </c>
      <c r="H24" s="32" t="s">
        <v>141</v>
      </c>
      <c r="I24" s="31" t="s">
        <v>106</v>
      </c>
      <c r="J24" s="31">
        <v>4</v>
      </c>
      <c r="K24" s="31">
        <v>4</v>
      </c>
      <c r="L24" t="s">
        <v>91</v>
      </c>
      <c r="M24" s="31" t="s">
        <v>92</v>
      </c>
      <c r="N24" s="35" t="s">
        <v>69</v>
      </c>
      <c r="O24" s="31" t="s">
        <v>70</v>
      </c>
      <c r="S24" t="s">
        <v>33</v>
      </c>
      <c r="T24" t="s">
        <v>34</v>
      </c>
    </row>
    <row r="25" spans="1:23" ht="15.75" customHeight="1" x14ac:dyDescent="0.3">
      <c r="A25" s="31" t="s">
        <v>63</v>
      </c>
      <c r="B25" s="31" t="s">
        <v>142</v>
      </c>
      <c r="C25" t="s">
        <v>87</v>
      </c>
      <c r="D25" s="38">
        <v>45911</v>
      </c>
      <c r="E25" s="31" t="s">
        <v>88</v>
      </c>
      <c r="F25" s="31" t="s">
        <v>103</v>
      </c>
      <c r="G25" s="31" t="s">
        <v>143</v>
      </c>
      <c r="H25" s="32" t="s">
        <v>144</v>
      </c>
      <c r="I25" s="31" t="s">
        <v>145</v>
      </c>
      <c r="J25" s="31">
        <v>2</v>
      </c>
      <c r="K25" s="31">
        <v>2</v>
      </c>
      <c r="L25" t="s">
        <v>91</v>
      </c>
      <c r="M25" s="31" t="s">
        <v>92</v>
      </c>
      <c r="N25" s="35" t="s">
        <v>69</v>
      </c>
      <c r="O25" s="31" t="s">
        <v>70</v>
      </c>
      <c r="P25" s="31"/>
      <c r="S25" t="s">
        <v>33</v>
      </c>
      <c r="T25" t="s">
        <v>34</v>
      </c>
    </row>
    <row r="26" spans="1:23" ht="15.75" customHeight="1" x14ac:dyDescent="0.3">
      <c r="A26" s="31" t="s">
        <v>63</v>
      </c>
      <c r="B26" s="31" t="s">
        <v>146</v>
      </c>
      <c r="C26" t="s">
        <v>87</v>
      </c>
      <c r="D26" s="38">
        <v>45911</v>
      </c>
      <c r="E26" s="31" t="s">
        <v>88</v>
      </c>
      <c r="F26" s="31" t="s">
        <v>103</v>
      </c>
      <c r="G26" s="31" t="s">
        <v>104</v>
      </c>
      <c r="H26" s="32" t="s">
        <v>105</v>
      </c>
      <c r="I26" s="31" t="s">
        <v>147</v>
      </c>
      <c r="J26" s="31">
        <v>3</v>
      </c>
      <c r="K26" s="31">
        <v>3</v>
      </c>
      <c r="L26" t="s">
        <v>91</v>
      </c>
      <c r="M26" s="31" t="s">
        <v>92</v>
      </c>
      <c r="N26" s="35" t="s">
        <v>69</v>
      </c>
      <c r="O26" s="31" t="s">
        <v>70</v>
      </c>
      <c r="P26" s="31"/>
      <c r="S26" t="s">
        <v>33</v>
      </c>
      <c r="T26" t="s">
        <v>34</v>
      </c>
    </row>
    <row r="27" spans="1:23" ht="15.75" customHeight="1" x14ac:dyDescent="0.3">
      <c r="A27" s="31" t="s">
        <v>63</v>
      </c>
      <c r="B27" s="31" t="s">
        <v>148</v>
      </c>
      <c r="C27" t="s">
        <v>87</v>
      </c>
      <c r="D27" s="38">
        <v>45911</v>
      </c>
      <c r="E27" s="31" t="s">
        <v>88</v>
      </c>
      <c r="F27" s="31" t="s">
        <v>139</v>
      </c>
      <c r="G27" s="31" t="s">
        <v>149</v>
      </c>
      <c r="H27" s="32" t="s">
        <v>150</v>
      </c>
      <c r="I27" s="31" t="s">
        <v>106</v>
      </c>
      <c r="J27" s="31">
        <v>2</v>
      </c>
      <c r="K27" s="31">
        <v>2</v>
      </c>
      <c r="L27" t="s">
        <v>91</v>
      </c>
      <c r="M27" s="31" t="s">
        <v>92</v>
      </c>
      <c r="N27" s="35" t="s">
        <v>69</v>
      </c>
      <c r="O27" s="31" t="s">
        <v>70</v>
      </c>
      <c r="P27" s="31"/>
      <c r="S27" t="s">
        <v>33</v>
      </c>
      <c r="T27" t="s">
        <v>34</v>
      </c>
    </row>
    <row r="28" spans="1:23" ht="15.75" customHeight="1" x14ac:dyDescent="0.3">
      <c r="A28" t="s">
        <v>35</v>
      </c>
      <c r="B28" t="s">
        <v>151</v>
      </c>
      <c r="C28" t="s">
        <v>87</v>
      </c>
      <c r="D28" s="28">
        <v>45910</v>
      </c>
      <c r="E28" t="s">
        <v>88</v>
      </c>
      <c r="F28" t="s">
        <v>89</v>
      </c>
      <c r="H28" t="s">
        <v>90</v>
      </c>
      <c r="I28" t="s">
        <v>76</v>
      </c>
      <c r="J28">
        <v>8</v>
      </c>
      <c r="K28">
        <v>8</v>
      </c>
      <c r="L28" t="s">
        <v>91</v>
      </c>
      <c r="M28" t="s">
        <v>92</v>
      </c>
      <c r="N28" s="36" t="s">
        <v>39</v>
      </c>
      <c r="O28" s="36" t="s">
        <v>40</v>
      </c>
      <c r="P28">
        <v>7</v>
      </c>
      <c r="S28" t="s">
        <v>33</v>
      </c>
      <c r="T28" t="s">
        <v>34</v>
      </c>
      <c r="U28">
        <f>(7+5+5+5+10)/5</f>
        <v>6.4</v>
      </c>
      <c r="V28" t="s">
        <v>35</v>
      </c>
      <c r="W28" t="s">
        <v>198</v>
      </c>
    </row>
    <row r="29" spans="1:23" ht="15.75" customHeight="1" x14ac:dyDescent="0.3">
      <c r="A29" t="s">
        <v>35</v>
      </c>
      <c r="B29" t="s">
        <v>152</v>
      </c>
      <c r="C29" t="s">
        <v>87</v>
      </c>
      <c r="D29" s="28">
        <v>45910</v>
      </c>
      <c r="E29" t="s">
        <v>88</v>
      </c>
      <c r="F29" t="s">
        <v>97</v>
      </c>
      <c r="H29" s="6" t="s">
        <v>153</v>
      </c>
      <c r="I29" t="s">
        <v>76</v>
      </c>
      <c r="J29">
        <v>1</v>
      </c>
      <c r="K29">
        <v>1</v>
      </c>
      <c r="L29" t="s">
        <v>91</v>
      </c>
      <c r="M29" t="s">
        <v>92</v>
      </c>
      <c r="N29" s="36" t="s">
        <v>154</v>
      </c>
      <c r="O29" s="36" t="s">
        <v>155</v>
      </c>
      <c r="P29">
        <v>5</v>
      </c>
      <c r="S29" t="s">
        <v>33</v>
      </c>
      <c r="T29" t="s">
        <v>34</v>
      </c>
    </row>
    <row r="30" spans="1:23" ht="15.75" customHeight="1" x14ac:dyDescent="0.3">
      <c r="A30" t="s">
        <v>35</v>
      </c>
      <c r="B30" t="s">
        <v>156</v>
      </c>
      <c r="C30" t="s">
        <v>87</v>
      </c>
      <c r="D30" s="28">
        <v>45910</v>
      </c>
      <c r="E30" t="s">
        <v>88</v>
      </c>
      <c r="F30" t="s">
        <v>97</v>
      </c>
      <c r="H30" t="s">
        <v>98</v>
      </c>
      <c r="I30" t="s">
        <v>76</v>
      </c>
      <c r="J30">
        <v>1</v>
      </c>
      <c r="K30">
        <v>1</v>
      </c>
      <c r="L30" t="s">
        <v>91</v>
      </c>
      <c r="M30" t="s">
        <v>92</v>
      </c>
      <c r="N30" s="36" t="s">
        <v>157</v>
      </c>
      <c r="O30" s="36" t="s">
        <v>158</v>
      </c>
      <c r="P30">
        <v>5</v>
      </c>
      <c r="S30" t="s">
        <v>33</v>
      </c>
      <c r="T30" t="s">
        <v>34</v>
      </c>
    </row>
    <row r="31" spans="1:23" ht="15.75" customHeight="1" x14ac:dyDescent="0.3">
      <c r="A31" t="s">
        <v>35</v>
      </c>
      <c r="B31" t="s">
        <v>159</v>
      </c>
      <c r="C31" t="s">
        <v>87</v>
      </c>
      <c r="D31" s="28">
        <v>45910</v>
      </c>
      <c r="E31" t="s">
        <v>88</v>
      </c>
      <c r="F31" t="s">
        <v>113</v>
      </c>
      <c r="H31" t="s">
        <v>118</v>
      </c>
      <c r="I31" t="s">
        <v>76</v>
      </c>
      <c r="J31">
        <v>1</v>
      </c>
      <c r="K31">
        <v>1</v>
      </c>
      <c r="L31" t="s">
        <v>91</v>
      </c>
      <c r="M31" t="s">
        <v>92</v>
      </c>
      <c r="N31" s="36" t="s">
        <v>160</v>
      </c>
      <c r="O31" s="36" t="s">
        <v>161</v>
      </c>
      <c r="P31" s="37" t="s">
        <v>115</v>
      </c>
      <c r="S31" t="s">
        <v>33</v>
      </c>
      <c r="T31" t="s">
        <v>34</v>
      </c>
    </row>
    <row r="32" spans="1:23" ht="15.75" customHeight="1" x14ac:dyDescent="0.3">
      <c r="A32" t="s">
        <v>35</v>
      </c>
      <c r="B32" t="s">
        <v>162</v>
      </c>
      <c r="C32" t="s">
        <v>87</v>
      </c>
      <c r="D32" s="28">
        <v>45910</v>
      </c>
      <c r="E32" t="s">
        <v>88</v>
      </c>
      <c r="F32" t="s">
        <v>163</v>
      </c>
      <c r="H32" t="s">
        <v>95</v>
      </c>
      <c r="I32" t="s">
        <v>76</v>
      </c>
      <c r="J32">
        <v>2</v>
      </c>
      <c r="K32">
        <v>2</v>
      </c>
      <c r="L32" t="s">
        <v>91</v>
      </c>
      <c r="M32" t="s">
        <v>92</v>
      </c>
      <c r="N32" s="36" t="s">
        <v>164</v>
      </c>
      <c r="O32" s="36" t="s">
        <v>165</v>
      </c>
      <c r="P32">
        <v>10</v>
      </c>
      <c r="S32" t="s">
        <v>33</v>
      </c>
      <c r="T32" t="s">
        <v>34</v>
      </c>
    </row>
    <row r="33" spans="1:23" ht="15.75" customHeight="1" x14ac:dyDescent="0.3">
      <c r="A33" s="31" t="s">
        <v>71</v>
      </c>
      <c r="B33" s="31" t="s">
        <v>166</v>
      </c>
      <c r="C33" t="s">
        <v>87</v>
      </c>
      <c r="D33" s="38">
        <v>45911</v>
      </c>
      <c r="E33" s="31" t="s">
        <v>88</v>
      </c>
      <c r="F33" s="31" t="s">
        <v>94</v>
      </c>
      <c r="G33" s="31"/>
      <c r="H33" s="32" t="s">
        <v>95</v>
      </c>
      <c r="I33" s="31" t="s">
        <v>76</v>
      </c>
      <c r="J33" s="31">
        <v>2</v>
      </c>
      <c r="K33" s="31">
        <v>2</v>
      </c>
      <c r="L33" t="s">
        <v>91</v>
      </c>
      <c r="M33" s="31" t="s">
        <v>92</v>
      </c>
      <c r="N33" s="31"/>
      <c r="O33" s="31"/>
      <c r="P33">
        <v>10</v>
      </c>
      <c r="S33" t="s">
        <v>33</v>
      </c>
      <c r="T33" t="s">
        <v>34</v>
      </c>
      <c r="U33">
        <f>(10+7+5+1)/4</f>
        <v>5.75</v>
      </c>
      <c r="V33" t="s">
        <v>71</v>
      </c>
      <c r="W33" t="s">
        <v>72</v>
      </c>
    </row>
    <row r="34" spans="1:23" ht="15.75" customHeight="1" x14ac:dyDescent="0.3">
      <c r="A34" s="31" t="s">
        <v>71</v>
      </c>
      <c r="B34" s="31" t="s">
        <v>167</v>
      </c>
      <c r="C34" t="s">
        <v>87</v>
      </c>
      <c r="D34" s="38">
        <v>45911</v>
      </c>
      <c r="E34" s="31" t="s">
        <v>88</v>
      </c>
      <c r="F34" s="31" t="s">
        <v>89</v>
      </c>
      <c r="G34" s="31"/>
      <c r="H34" s="32" t="s">
        <v>90</v>
      </c>
      <c r="I34" s="31" t="s">
        <v>76</v>
      </c>
      <c r="J34" s="31">
        <v>1</v>
      </c>
      <c r="K34" s="31">
        <v>1</v>
      </c>
      <c r="L34" t="s">
        <v>91</v>
      </c>
      <c r="M34" s="31" t="s">
        <v>92</v>
      </c>
      <c r="N34" s="31"/>
      <c r="O34" s="31"/>
      <c r="P34">
        <v>7</v>
      </c>
      <c r="S34" t="s">
        <v>33</v>
      </c>
      <c r="T34" t="s">
        <v>34</v>
      </c>
    </row>
    <row r="35" spans="1:23" ht="15.75" customHeight="1" x14ac:dyDescent="0.3">
      <c r="A35" s="31" t="s">
        <v>71</v>
      </c>
      <c r="B35" s="31" t="s">
        <v>168</v>
      </c>
      <c r="C35" t="s">
        <v>87</v>
      </c>
      <c r="D35" s="38">
        <v>45911</v>
      </c>
      <c r="E35" s="31" t="s">
        <v>88</v>
      </c>
      <c r="F35" s="31" t="s">
        <v>113</v>
      </c>
      <c r="G35" s="31"/>
      <c r="H35" s="32" t="s">
        <v>169</v>
      </c>
      <c r="I35" s="31" t="s">
        <v>76</v>
      </c>
      <c r="J35" s="31">
        <v>1</v>
      </c>
      <c r="K35" s="31">
        <v>1</v>
      </c>
      <c r="L35" t="s">
        <v>91</v>
      </c>
      <c r="M35" s="31" t="s">
        <v>92</v>
      </c>
      <c r="N35" s="31"/>
      <c r="O35" s="31"/>
      <c r="P35" s="37" t="s">
        <v>115</v>
      </c>
      <c r="S35" t="s">
        <v>33</v>
      </c>
      <c r="T35" t="s">
        <v>34</v>
      </c>
    </row>
    <row r="36" spans="1:23" ht="15.75" customHeight="1" x14ac:dyDescent="0.3">
      <c r="A36" s="31" t="s">
        <v>71</v>
      </c>
      <c r="B36" s="31" t="s">
        <v>170</v>
      </c>
      <c r="C36" t="s">
        <v>87</v>
      </c>
      <c r="D36" s="38">
        <v>45911</v>
      </c>
      <c r="E36" s="31" t="s">
        <v>88</v>
      </c>
      <c r="F36" s="31" t="s">
        <v>133</v>
      </c>
      <c r="G36" s="31" t="s">
        <v>171</v>
      </c>
      <c r="H36" s="32" t="s">
        <v>134</v>
      </c>
      <c r="I36" s="31" t="s">
        <v>106</v>
      </c>
      <c r="J36" s="31">
        <v>1</v>
      </c>
      <c r="K36" s="31">
        <v>1</v>
      </c>
      <c r="L36" t="s">
        <v>91</v>
      </c>
      <c r="M36" s="31" t="s">
        <v>92</v>
      </c>
      <c r="N36" s="31"/>
      <c r="O36" s="31"/>
      <c r="P36">
        <v>1</v>
      </c>
      <c r="S36" t="s">
        <v>33</v>
      </c>
      <c r="T36" t="s">
        <v>34</v>
      </c>
    </row>
  </sheetData>
  <sortState xmlns:xlrd2="http://schemas.microsoft.com/office/spreadsheetml/2017/richdata2" ref="A2:T36">
    <sortCondition ref="A2:A36"/>
  </sortState>
  <phoneticPr fontId="17"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8"/>
  <sheetViews>
    <sheetView topLeftCell="B7" workbookViewId="0">
      <selection activeCell="B31" sqref="B31"/>
    </sheetView>
  </sheetViews>
  <sheetFormatPr defaultColWidth="11" defaultRowHeight="15.6" x14ac:dyDescent="0.3"/>
  <cols>
    <col min="1" max="1" width="27.09765625" customWidth="1"/>
    <col min="2" max="2" width="90.09765625" bestFit="1" customWidth="1"/>
  </cols>
  <sheetData>
    <row r="1" spans="1:2" x14ac:dyDescent="0.3">
      <c r="A1" s="15"/>
      <c r="B1" s="8" t="s">
        <v>172</v>
      </c>
    </row>
    <row r="2" spans="1:2" ht="21" x14ac:dyDescent="0.4">
      <c r="A2" s="16"/>
      <c r="B2" s="9" t="s">
        <v>173</v>
      </c>
    </row>
    <row r="3" spans="1:2" x14ac:dyDescent="0.3">
      <c r="A3" s="16"/>
      <c r="B3" s="11"/>
    </row>
    <row r="4" spans="1:2" ht="62.4" x14ac:dyDescent="0.3">
      <c r="A4" s="16"/>
      <c r="B4" s="12" t="s">
        <v>174</v>
      </c>
    </row>
    <row r="5" spans="1:2" x14ac:dyDescent="0.3">
      <c r="A5" s="16"/>
      <c r="B5" s="13"/>
    </row>
    <row r="6" spans="1:2" ht="16.2" thickBot="1" x14ac:dyDescent="0.35">
      <c r="A6" s="17" t="s">
        <v>175</v>
      </c>
      <c r="B6" s="14" t="s">
        <v>176</v>
      </c>
    </row>
    <row r="7" spans="1:2" ht="78" x14ac:dyDescent="0.3">
      <c r="A7" s="10" t="s">
        <v>177</v>
      </c>
      <c r="B7" s="5" t="s">
        <v>178</v>
      </c>
    </row>
    <row r="8" spans="1:2" x14ac:dyDescent="0.3">
      <c r="A8" s="10"/>
      <c r="B8" s="7" t="s">
        <v>179</v>
      </c>
    </row>
    <row r="9" spans="1:2" ht="31.2" x14ac:dyDescent="0.3">
      <c r="A9" s="10"/>
      <c r="B9" s="6" t="s">
        <v>180</v>
      </c>
    </row>
    <row r="10" spans="1:2" ht="31.2" x14ac:dyDescent="0.3">
      <c r="A10" s="10"/>
      <c r="B10" s="5" t="s">
        <v>181</v>
      </c>
    </row>
    <row r="11" spans="1:2" x14ac:dyDescent="0.3">
      <c r="A11" s="10"/>
      <c r="B11" s="5" t="s">
        <v>182</v>
      </c>
    </row>
    <row r="12" spans="1:2" ht="37.5" customHeight="1" x14ac:dyDescent="0.3">
      <c r="A12" s="10"/>
      <c r="B12" s="18" t="s">
        <v>183</v>
      </c>
    </row>
    <row r="13" spans="1:2" x14ac:dyDescent="0.3">
      <c r="A13" s="10"/>
      <c r="B13" s="18"/>
    </row>
    <row r="14" spans="1:2" ht="94.5" customHeight="1" x14ac:dyDescent="0.3">
      <c r="A14" s="10" t="s">
        <v>184</v>
      </c>
      <c r="B14" s="6" t="s">
        <v>185</v>
      </c>
    </row>
    <row r="15" spans="1:2" ht="54.9" customHeight="1" x14ac:dyDescent="0.3">
      <c r="A15" s="10"/>
      <c r="B15" s="6"/>
    </row>
    <row r="16" spans="1:2" ht="93.6" x14ac:dyDescent="0.3">
      <c r="A16" s="10" t="s">
        <v>186</v>
      </c>
      <c r="B16" s="5" t="s">
        <v>187</v>
      </c>
    </row>
    <row r="17" spans="1:2" x14ac:dyDescent="0.3">
      <c r="A17" s="4"/>
      <c r="B17" s="7" t="s">
        <v>179</v>
      </c>
    </row>
    <row r="18" spans="1:2" ht="31.2" x14ac:dyDescent="0.3">
      <c r="B18" s="6" t="s">
        <v>180</v>
      </c>
    </row>
    <row r="19" spans="1:2" ht="31.2" x14ac:dyDescent="0.3">
      <c r="B19" s="5" t="s">
        <v>188</v>
      </c>
    </row>
    <row r="20" spans="1:2" x14ac:dyDescent="0.3">
      <c r="B20" s="5" t="s">
        <v>182</v>
      </c>
    </row>
    <row r="21" spans="1:2" x14ac:dyDescent="0.3">
      <c r="B21" s="18" t="s">
        <v>183</v>
      </c>
    </row>
    <row r="22" spans="1:2" x14ac:dyDescent="0.3">
      <c r="B22" s="18"/>
    </row>
    <row r="23" spans="1:2" ht="46.8" x14ac:dyDescent="0.3">
      <c r="A23" s="20" t="s">
        <v>189</v>
      </c>
      <c r="B23" s="6" t="s">
        <v>190</v>
      </c>
    </row>
    <row r="25" spans="1:2" ht="31.2" x14ac:dyDescent="0.3">
      <c r="A25" s="25" t="s">
        <v>191</v>
      </c>
      <c r="B25" s="6" t="s">
        <v>192</v>
      </c>
    </row>
    <row r="27" spans="1:2" x14ac:dyDescent="0.3">
      <c r="B27" s="29" t="s">
        <v>193</v>
      </c>
    </row>
    <row r="28" spans="1:2" x14ac:dyDescent="0.3">
      <c r="B28" s="29" t="s">
        <v>194</v>
      </c>
    </row>
  </sheetData>
  <hyperlinks>
    <hyperlink ref="B27" r:id="rId1" xr:uid="{6155B034-E3AF-4ED9-BCCA-C48BE8D4EB42}"/>
    <hyperlink ref="B28" r:id="rId2" xr:uid="{D77DA3A0-D2A9-49B8-AB31-6B12467BD08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Sampling Events</vt:lpstr>
      <vt:lpstr>Associated Occurrences</vt:lpstr>
      <vt:lpstr>README</vt:lpstr>
    </vt:vector>
  </TitlesOfParts>
  <Manager/>
  <Company>GBIF Secretariat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Cameron Conway</cp:lastModifiedBy>
  <cp:revision/>
  <dcterms:created xsi:type="dcterms:W3CDTF">2016-02-03T10:16:16Z</dcterms:created>
  <dcterms:modified xsi:type="dcterms:W3CDTF">2025-12-07T02:39:34Z</dcterms:modified>
  <cp:category/>
  <cp:contentStatus/>
</cp:coreProperties>
</file>